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bookViews>
    <workbookView xWindow="0" yWindow="45" windowWidth="15960" windowHeight="18075"/>
  </bookViews>
  <sheets>
    <sheet name="Details - Offer" sheetId="1" r:id="rId1"/>
  </sheets>
  <calcPr calcId="152511"/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9" i="1"/>
  <c r="F22" i="1" s="1"/>
  <c r="F20" i="1"/>
  <c r="F21" i="1"/>
  <c r="F24" i="1"/>
  <c r="F25" i="1"/>
  <c r="F26" i="1"/>
  <c r="F27" i="1"/>
  <c r="F29" i="1"/>
  <c r="H29" i="1"/>
  <c r="I29" i="1" s="1"/>
  <c r="J29" i="1" s="1"/>
  <c r="F17" i="1" l="1"/>
  <c r="F31" i="1" s="1"/>
  <c r="F28" i="1"/>
  <c r="H27" i="1"/>
  <c r="I27" i="1" s="1"/>
  <c r="J27" i="1" s="1"/>
  <c r="H26" i="1"/>
  <c r="I26" i="1" s="1"/>
  <c r="J26" i="1" s="1"/>
  <c r="H25" i="1"/>
  <c r="I25" i="1" s="1"/>
  <c r="J25" i="1" s="1"/>
  <c r="H24" i="1"/>
  <c r="I24" i="1" s="1"/>
  <c r="J24" i="1" s="1"/>
  <c r="H21" i="1"/>
  <c r="I21" i="1" s="1"/>
  <c r="J21" i="1" s="1"/>
  <c r="H20" i="1"/>
  <c r="I20" i="1" s="1"/>
  <c r="J20" i="1" s="1"/>
  <c r="H19" i="1"/>
  <c r="I19" i="1" s="1"/>
  <c r="J19" i="1" s="1"/>
  <c r="H16" i="1"/>
  <c r="I16" i="1" s="1"/>
  <c r="J16" i="1" s="1"/>
  <c r="H15" i="1"/>
  <c r="I15" i="1" s="1"/>
  <c r="J15" i="1" s="1"/>
  <c r="H14" i="1"/>
  <c r="I14" i="1" s="1"/>
  <c r="J14" i="1" s="1"/>
  <c r="H13" i="1"/>
  <c r="I13" i="1" s="1"/>
  <c r="J13" i="1" s="1"/>
  <c r="H12" i="1"/>
  <c r="I12" i="1" s="1"/>
  <c r="J12" i="1" s="1"/>
  <c r="H11" i="1"/>
  <c r="I11" i="1" s="1"/>
  <c r="J11" i="1" s="1"/>
  <c r="H10" i="1"/>
  <c r="I10" i="1" s="1"/>
  <c r="J10" i="1" s="1"/>
  <c r="H9" i="1"/>
  <c r="I9" i="1" s="1"/>
  <c r="J9" i="1" s="1"/>
  <c r="H8" i="1"/>
  <c r="I8" i="1" s="1"/>
  <c r="J8" i="1" s="1"/>
  <c r="H7" i="1"/>
  <c r="I7" i="1" s="1"/>
  <c r="J7" i="1" s="1"/>
  <c r="H6" i="1"/>
  <c r="I6" i="1" s="1"/>
  <c r="J6" i="1" s="1"/>
  <c r="J22" i="1" l="1"/>
  <c r="J28" i="1"/>
  <c r="J17" i="1"/>
  <c r="J31" i="1" s="1"/>
</calcChain>
</file>

<file path=xl/sharedStrings.xml><?xml version="1.0" encoding="utf-8"?>
<sst xmlns="http://schemas.openxmlformats.org/spreadsheetml/2006/main" count="84" uniqueCount="62">
  <si>
    <t>№</t>
  </si>
  <si>
    <t>ед</t>
  </si>
  <si>
    <t>кол</t>
  </si>
  <si>
    <t>Цена</t>
  </si>
  <si>
    <t>%</t>
  </si>
  <si>
    <t>A-1</t>
  </si>
  <si>
    <t>pcs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</si>
  <si>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</si>
  <si>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</si>
  <si>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</si>
  <si>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</si>
  <si>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</si>
  <si>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</si>
  <si>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</si>
  <si>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</si>
  <si>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</si>
  <si>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</si>
  <si>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B-1</t>
  </si>
  <si>
    <t>B-2</t>
  </si>
  <si>
    <t>B-3</t>
  </si>
  <si>
    <t>C-1</t>
  </si>
  <si>
    <t>C-2</t>
  </si>
  <si>
    <t>C-3</t>
  </si>
  <si>
    <t>C-4</t>
  </si>
  <si>
    <t xml:space="preserve">Всего </t>
  </si>
  <si>
    <t>Итого</t>
  </si>
  <si>
    <t> Спецификација за редовне радове на одржавању грејања, хлађења у приватној кући Спецификация на плановые сервисные работы отопления, охлаждения в частном доме</t>
  </si>
  <si>
    <t>Опрема и рад / Оборудование и работы</t>
  </si>
  <si>
    <t>Круг воде и јединица за производњу топлоте / хладноће.  Водяной контур и узел выработки тепла/холода.</t>
  </si>
  <si>
    <t>без ПДВ</t>
  </si>
  <si>
    <t>Трошак</t>
  </si>
  <si>
    <t>ПДВ</t>
  </si>
  <si>
    <t>с ПДВ</t>
  </si>
  <si>
    <t xml:space="preserve">Визуелни преглед топлотне пумпе. Идентификација могућих места квара и цурења.  Визуальный осмотр теплового насоса. Определение возможных мест неисправности и протечек. </t>
  </si>
  <si>
    <t>Кука високонапонских терминала и управљачких терминала.  Протяжка клем высокого напряжения и клем управления.</t>
  </si>
  <si>
    <t>Чишћење кондензаторске јединице.  Чистка блока конденсатора.</t>
  </si>
  <si>
    <t xml:space="preserve">Визуелни преглед испусних и усисних водова расхладне течности. Идентификација могућих цурења.  Визуальный осмотрт магистралей нагнетания и всасывания теплоносителя. Определение возможных мест протечки. </t>
  </si>
  <si>
    <t>Замена топлотне изолације. Замена термоизоляции.</t>
  </si>
  <si>
    <t>м</t>
  </si>
  <si>
    <t>Провера притиска пражњења и усисавања расхладне течности. Постављање потребне вриједности  Проверка давления нагнетания и всасывания теплоносителя. Установка необходимого значения</t>
  </si>
  <si>
    <t xml:space="preserve">
Повећање притиска на 5-6 атмосфера и идентификовање потенцијалних тачака цурења. Замена, поправка утврђених кварова   Повышение давления до 5-6 атмосфер и выявление потенциальных мест протечки. Замена,ремонт выявленных неисправностей.</t>
  </si>
  <si>
    <t xml:space="preserve">  Одвод расхладне течности. Испирање линија за пражњење и усисавање расхладне течности. Цхистра филтери.Слив теплоносителя. Промывка магистралей нагнетания и всасывания теплоносителя. Чистра фильтров. </t>
  </si>
  <si>
    <t>Пуњење система расхладном течношћу. Наполнение системы теплоносителем.</t>
  </si>
  <si>
    <t>Стављање система у сезонски режим.  Перевод системы в режим сезонной работы.</t>
  </si>
  <si>
    <t>Провера поставки контролера, репрограмирање контролера  Проверка значений настроек контроллера, перепрограммирование контроллера</t>
  </si>
  <si>
    <t>Одржавање јединице за производњу топлоте / хладноће и круга воде. Всего обслуживание узела выработки тепла/холода и водяного контура.</t>
  </si>
  <si>
    <t>Фреон склоп.  Фреоновый контур.</t>
  </si>
  <si>
    <t xml:space="preserve">Проверите пражњење компресора и притисак усисавања. Ако је потребно, додајте фреон (до 5000г)  Проверка давления нагнетания и всасывания компрессора. При необходимости дозапрвка фреона (до 5000г) </t>
  </si>
  <si>
    <t>Провера нивоа уља у компресору. По потреби допуњавање (до 30г).  Проверка уровня масла в компрессоре. При необходимости пополнение(до 30г).</t>
  </si>
  <si>
    <t>Визуелна идентификација капљица уља. Поправите цурење.  Визуальное выявление масляных потеков. Устранение протечки.</t>
  </si>
  <si>
    <t>Фреон склоп укупно  Всего по фреоновому контуру</t>
  </si>
  <si>
    <t>Фенцоилс  Фенкойлы</t>
  </si>
  <si>
    <t>Чишћење филтера за ваздух.  Чистка воздушных фильтров.</t>
  </si>
  <si>
    <t>Чишћење кондензатора дезинфекцијом измјењивача топлоте.  Чистка конденсатора, используя дезинфекцию теплообменника.</t>
  </si>
  <si>
    <t>Распон високонапонских терминала и управљачких терминала.  Протяжка клем высокого напряжения и клем управления.</t>
  </si>
  <si>
    <t>Очистите и очистите излазне цеви кондензата.  Продувка и чистка труб вывода конденсата.</t>
  </si>
  <si>
    <t>Тотал Фенцоил  Всего фенкойлы</t>
  </si>
  <si>
    <t>Путни трошкови  Транспортные расходы</t>
  </si>
  <si>
    <t>Препоруке:  Рекомендации:</t>
  </si>
  <si>
    <t>Купац: Заказчик:</t>
  </si>
  <si>
    <t>Артист:  Исполнитель:</t>
  </si>
  <si>
    <t>DOO SOLARNA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</si>
</sst>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€-2]&quot; &quot;#,##0.00"/>
    <numFmt numFmtId="165" formatCode="#,##0%"/>
    <numFmt numFmtId="166" formatCode="[$€-2]&quot; &quot;#,##0"/>
  </numFmts>
  <fonts count="10" x14ac:knownFonts="1">
    <font>
      <sz val="10"/>
      <color indexed="8"/>
      <name val="Helvetica"/>
    </font>
    <font>
      <sz val="12"/>
      <color indexed="8"/>
      <name val="Verdana"/>
    </font>
    <font>
      <b/>
      <sz val="12"/>
      <color indexed="8"/>
      <name val="Helvetica"/>
    </font>
    <font>
      <sz val="10"/>
      <color indexed="8"/>
      <name val="Arial"/>
    </font>
    <font>
      <sz val="12"/>
      <color indexed="8"/>
      <name val="Helvetica"/>
    </font>
    <font>
      <b/>
      <sz val="14"/>
      <color indexed="8"/>
      <name val="Helvetica"/>
    </font>
    <font>
      <b/>
      <i/>
      <sz val="14"/>
      <color indexed="8"/>
      <name val="Helvetica"/>
    </font>
    <font>
      <sz val="12"/>
      <color indexed="8"/>
      <name val="Helvetica"/>
      <charset val="204"/>
      <scheme val="major"/>
    </font>
    <font>
      <sz val="12"/>
      <color indexed="8"/>
      <name val="Verdana"/>
      <family val="2"/>
      <charset val="204"/>
    </font>
    <font>
      <b/>
      <sz val="16"/>
      <color indexed="8"/>
      <name val="Helvetica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3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164" fontId="4" fillId="0" borderId="10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right" vertical="center" wrapText="1"/>
    </xf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justify" vertical="center" wrapText="1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left" vertical="center" wrapText="1"/>
    </xf>
    <xf numFmtId="1" fontId="2" fillId="2" borderId="10" xfId="0" applyNumberFormat="1" applyFont="1" applyFill="1" applyBorder="1" applyAlignment="1">
      <alignment horizontal="justify" vertical="center" wrapText="1"/>
    </xf>
    <xf numFmtId="1" fontId="2" fillId="2" borderId="10" xfId="0" applyNumberFormat="1" applyFont="1" applyFill="1" applyBorder="1" applyAlignment="1">
      <alignment horizontal="center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right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166" fontId="4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left" vertical="top" wrapText="1"/>
    </xf>
    <xf numFmtId="1" fontId="3" fillId="0" borderId="12" xfId="0" applyNumberFormat="1" applyFont="1" applyBorder="1" applyAlignment="1"/>
    <xf numFmtId="1" fontId="3" fillId="0" borderId="13" xfId="0" applyNumberFormat="1" applyFont="1" applyBorder="1" applyAlignment="1"/>
    <xf numFmtId="1" fontId="3" fillId="0" borderId="14" xfId="0" applyNumberFormat="1" applyFont="1" applyBorder="1" applyAlignment="1"/>
    <xf numFmtId="1" fontId="5" fillId="3" borderId="9" xfId="0" applyNumberFormat="1" applyFont="1" applyFill="1" applyBorder="1" applyAlignment="1">
      <alignment horizontal="left" vertical="center" wrapText="1"/>
    </xf>
    <xf numFmtId="49" fontId="5" fillId="3" borderId="10" xfId="0" applyNumberFormat="1" applyFont="1" applyFill="1" applyBorder="1" applyAlignment="1">
      <alignment horizontal="left" vertical="top" wrapText="1"/>
    </xf>
    <xf numFmtId="1" fontId="5" fillId="3" borderId="10" xfId="0" applyNumberFormat="1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  <xf numFmtId="166" fontId="5" fillId="3" borderId="10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right" vertical="center" wrapText="1"/>
    </xf>
    <xf numFmtId="164" fontId="4" fillId="0" borderId="10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" fontId="5" fillId="3" borderId="10" xfId="0" applyNumberFormat="1" applyFont="1" applyFill="1" applyBorder="1" applyAlignment="1">
      <alignment horizontal="left" vertical="center" wrapText="1"/>
    </xf>
    <xf numFmtId="1" fontId="6" fillId="4" borderId="10" xfId="0" applyNumberFormat="1" applyFont="1" applyFill="1" applyBorder="1" applyAlignment="1">
      <alignment horizontal="center" vertical="center" wrapText="1"/>
    </xf>
    <xf numFmtId="1" fontId="6" fillId="4" borderId="10" xfId="0" applyNumberFormat="1" applyFont="1" applyFill="1" applyBorder="1" applyAlignment="1">
      <alignment vertical="center" wrapText="1"/>
    </xf>
    <xf numFmtId="164" fontId="6" fillId="4" borderId="10" xfId="0" applyNumberFormat="1" applyFont="1" applyFill="1" applyBorder="1" applyAlignment="1">
      <alignment horizontal="right" vertical="center" wrapText="1"/>
    </xf>
    <xf numFmtId="164" fontId="6" fillId="4" borderId="11" xfId="0" applyNumberFormat="1" applyFont="1" applyFill="1" applyBorder="1" applyAlignment="1">
      <alignment horizontal="right" vertical="center" wrapText="1"/>
    </xf>
    <xf numFmtId="0" fontId="1" fillId="0" borderId="16" xfId="0" applyFont="1" applyBorder="1" applyAlignment="1"/>
    <xf numFmtId="0" fontId="1" fillId="0" borderId="17" xfId="0" applyFont="1" applyBorder="1" applyAlignment="1"/>
    <xf numFmtId="0" fontId="1" fillId="0" borderId="18" xfId="0" applyFont="1" applyBorder="1" applyAlignment="1"/>
    <xf numFmtId="1" fontId="3" fillId="0" borderId="19" xfId="0" applyNumberFormat="1" applyFont="1" applyBorder="1" applyAlignment="1">
      <alignment vertical="center"/>
    </xf>
    <xf numFmtId="1" fontId="7" fillId="0" borderId="19" xfId="0" applyNumberFormat="1" applyFont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64" fontId="5" fillId="0" borderId="10" xfId="0" applyNumberFormat="1" applyFont="1" applyFill="1" applyBorder="1" applyAlignment="1">
      <alignment horizontal="center" vertical="center" wrapText="1"/>
    </xf>
    <xf numFmtId="1" fontId="5" fillId="0" borderId="10" xfId="0" applyNumberFormat="1" applyFont="1" applyFill="1" applyBorder="1" applyAlignment="1">
      <alignment horizontal="center" vertical="center" wrapText="1"/>
    </xf>
    <xf numFmtId="166" fontId="5" fillId="0" borderId="10" xfId="0" applyNumberFormat="1" applyFont="1" applyFill="1" applyBorder="1" applyAlignment="1">
      <alignment horizontal="center" vertical="center" wrapText="1"/>
    </xf>
    <xf numFmtId="164" fontId="5" fillId="0" borderId="11" xfId="0" applyNumberFormat="1" applyFont="1" applyFill="1" applyBorder="1" applyAlignment="1">
      <alignment horizontal="right" vertical="center" wrapText="1"/>
    </xf>
    <xf numFmtId="164" fontId="4" fillId="0" borderId="20" xfId="0" applyNumberFormat="1" applyFont="1" applyBorder="1" applyAlignment="1">
      <alignment horizontal="right" vertical="center" wrapText="1"/>
    </xf>
    <xf numFmtId="1" fontId="3" fillId="0" borderId="23" xfId="0" applyNumberFormat="1" applyFont="1" applyBorder="1" applyAlignment="1"/>
    <xf numFmtId="1" fontId="3" fillId="0" borderId="21" xfId="0" applyNumberFormat="1" applyFont="1" applyBorder="1" applyAlignment="1"/>
    <xf numFmtId="1" fontId="3" fillId="0" borderId="21" xfId="0" applyNumberFormat="1" applyFont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" vertical="center"/>
    </xf>
    <xf numFmtId="1" fontId="6" fillId="4" borderId="26" xfId="0" applyNumberFormat="1" applyFont="1" applyFill="1" applyBorder="1" applyAlignment="1">
      <alignment horizontal="center" vertical="center" wrapText="1"/>
    </xf>
    <xf numFmtId="0" fontId="1" fillId="0" borderId="27" xfId="0" applyNumberFormat="1" applyFont="1" applyBorder="1" applyAlignment="1">
      <alignment vertical="top" wrapText="1"/>
    </xf>
    <xf numFmtId="0" fontId="1" fillId="0" borderId="28" xfId="0" applyNumberFormat="1" applyFont="1" applyBorder="1" applyAlignment="1">
      <alignment vertical="top" wrapText="1"/>
    </xf>
    <xf numFmtId="0" fontId="1" fillId="0" borderId="29" xfId="0" applyNumberFormat="1" applyFont="1" applyBorder="1" applyAlignment="1">
      <alignment vertical="top" wrapText="1"/>
    </xf>
    <xf numFmtId="0" fontId="8" fillId="0" borderId="28" xfId="0" applyNumberFormat="1" applyFont="1" applyBorder="1" applyAlignment="1">
      <alignment vertical="top" wrapText="1"/>
    </xf>
    <xf numFmtId="0" fontId="8" fillId="0" borderId="21" xfId="0" applyNumberFormat="1" applyFont="1" applyBorder="1" applyAlignment="1">
      <alignment vertical="top" wrapText="1"/>
    </xf>
    <xf numFmtId="49" fontId="6" fillId="4" borderId="1" xfId="0" applyNumberFormat="1" applyFont="1" applyFill="1" applyBorder="1" applyAlignment="1">
      <alignment horizontal="left" vertical="center" wrapText="1"/>
    </xf>
    <xf numFmtId="1" fontId="6" fillId="0" borderId="9" xfId="0" applyNumberFormat="1" applyFont="1" applyBorder="1" applyAlignment="1">
      <alignment horizontal="left" vertical="center" wrapText="1"/>
    </xf>
    <xf numFmtId="1" fontId="3" fillId="0" borderId="9" xfId="0" applyNumberFormat="1" applyFont="1" applyBorder="1" applyAlignment="1">
      <alignment vertical="center"/>
    </xf>
    <xf numFmtId="49" fontId="2" fillId="2" borderId="15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/>
    <xf numFmtId="1" fontId="3" fillId="0" borderId="1" xfId="0" applyNumberFormat="1" applyFont="1" applyBorder="1" applyAlignment="1"/>
    <xf numFmtId="1" fontId="3" fillId="0" borderId="9" xfId="0" applyNumberFormat="1" applyFont="1" applyBorder="1" applyAlignment="1"/>
    <xf numFmtId="49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/>
    <xf numFmtId="1" fontId="3" fillId="0" borderId="3" xfId="0" applyNumberFormat="1" applyFont="1" applyBorder="1" applyAlignment="1"/>
    <xf numFmtId="49" fontId="5" fillId="3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vertical="center"/>
    </xf>
    <xf numFmtId="1" fontId="3" fillId="0" borderId="24" xfId="0" applyNumberFormat="1" applyFont="1" applyBorder="1" applyAlignment="1"/>
    <xf numFmtId="1" fontId="3" fillId="0" borderId="22" xfId="0" applyNumberFormat="1" applyFont="1" applyBorder="1" applyAlignment="1"/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BCCCB"/>
      <rgbColor rgb="FFAAAAAA"/>
      <rgbColor rgb="FFC0C0C0"/>
      <rgbColor rgb="FFDFEDD3"/>
      <rgbColor rgb="FFFFF1D4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9"/>
  <sheetViews>
    <sheetView showGridLines="0" tabSelected="1" workbookViewId="0">
      <selection activeCell="L1" sqref="L1"/>
    </sheetView>
  </sheetViews>
  <sheetFormatPr defaultColWidth="5.28515625" defaultRowHeight="11.45" customHeight="1" x14ac:dyDescent="0.2"/>
  <cols>
    <col min="1" max="1" width="5.85546875" style="1" customWidth="1"/>
    <col min="2" max="2" width="64.7109375" style="1" customWidth="1"/>
    <col min="3" max="3" width="5.140625" style="1" customWidth="1"/>
    <col min="4" max="4" width="7.140625" style="1" customWidth="1"/>
    <col min="5" max="5" width="11.140625" style="1" customWidth="1"/>
    <col min="6" max="6" width="12.5703125" style="1" customWidth="1"/>
    <col min="7" max="7" width="7.42578125" style="1" customWidth="1"/>
    <col min="8" max="8" width="5.85546875" style="1" customWidth="1"/>
    <col min="9" max="9" width="10.140625" style="1" customWidth="1"/>
    <col min="10" max="10" width="14.85546875" style="1" customWidth="1"/>
    <col min="11" max="256" width="5.28515625" style="1" customWidth="1"/>
  </cols>
  <sheetData>
    <row r="1" spans="1:15" ht="49.5" customHeight="1" x14ac:dyDescent="0.2">
      <c r="A1" s="73" t="s">
        <v>26</v>
      </c>
      <c r="B1" s="71"/>
      <c r="C1" s="74"/>
      <c r="D1" s="74"/>
      <c r="E1" s="74"/>
      <c r="F1" s="74"/>
      <c r="G1" s="74"/>
      <c r="H1" s="75"/>
      <c r="I1" s="2"/>
      <c r="J1" s="3"/>
      <c r="K1" s="4"/>
      <c r="L1" s="5"/>
      <c r="M1" s="5"/>
      <c r="N1" s="5"/>
      <c r="O1" s="6"/>
    </row>
    <row r="2" spans="1:15" ht="30" customHeight="1" x14ac:dyDescent="0.2">
      <c r="A2" s="82" t="s">
        <v>61</v>
      </c>
      <c r="B2" s="71"/>
      <c r="C2" s="71"/>
      <c r="D2" s="71"/>
      <c r="E2" s="71"/>
      <c r="F2" s="71"/>
      <c r="G2" s="71"/>
      <c r="H2" s="72"/>
      <c r="I2" s="7"/>
      <c r="J2" s="8"/>
      <c r="K2" s="9"/>
      <c r="L2" s="10"/>
      <c r="M2" s="10"/>
      <c r="N2" s="10"/>
      <c r="O2" s="11"/>
    </row>
    <row r="3" spans="1:15" ht="20.100000000000001" customHeight="1" x14ac:dyDescent="0.25">
      <c r="A3" s="12" t="s">
        <v>0</v>
      </c>
      <c r="B3" s="13" t="s">
        <v>27</v>
      </c>
      <c r="C3" s="69" t="s">
        <v>1</v>
      </c>
      <c r="D3" s="69" t="s">
        <v>2</v>
      </c>
      <c r="E3" s="14" t="s">
        <v>3</v>
      </c>
      <c r="F3" s="14" t="s">
        <v>30</v>
      </c>
      <c r="G3" s="14" t="s">
        <v>31</v>
      </c>
      <c r="H3" s="14" t="s">
        <v>31</v>
      </c>
      <c r="I3" s="14" t="s">
        <v>3</v>
      </c>
      <c r="J3" s="15" t="s">
        <v>30</v>
      </c>
      <c r="K3" s="9"/>
      <c r="L3" s="10"/>
      <c r="M3" s="10"/>
      <c r="N3" s="10"/>
      <c r="O3" s="11"/>
    </row>
    <row r="4" spans="1:15" ht="20.100000000000001" customHeight="1" x14ac:dyDescent="0.25">
      <c r="A4" s="16"/>
      <c r="B4" s="17"/>
      <c r="C4" s="70"/>
      <c r="D4" s="70"/>
      <c r="E4" s="14" t="s">
        <v>29</v>
      </c>
      <c r="F4" s="14" t="s">
        <v>29</v>
      </c>
      <c r="G4" s="14" t="s">
        <v>4</v>
      </c>
      <c r="H4" s="18"/>
      <c r="I4" s="14" t="s">
        <v>32</v>
      </c>
      <c r="J4" s="15" t="s">
        <v>32</v>
      </c>
      <c r="K4" s="9"/>
      <c r="L4" s="10"/>
      <c r="M4" s="10"/>
      <c r="N4" s="10"/>
      <c r="O4" s="11"/>
    </row>
    <row r="5" spans="1:15" ht="20.100000000000001" customHeight="1" x14ac:dyDescent="0.2">
      <c r="A5" s="81" t="s">
        <v>28</v>
      </c>
      <c r="B5" s="77"/>
      <c r="C5" s="71"/>
      <c r="D5" s="71"/>
      <c r="E5" s="71"/>
      <c r="F5" s="71"/>
      <c r="G5" s="77"/>
      <c r="H5" s="71"/>
      <c r="I5" s="71"/>
      <c r="J5" s="71"/>
      <c r="K5" s="9"/>
      <c r="L5" s="10"/>
      <c r="M5" s="10"/>
      <c r="N5" s="10"/>
      <c r="O5" s="11"/>
    </row>
    <row r="6" spans="1:15" ht="74.25" customHeight="1" x14ac:dyDescent="0.2">
      <c r="A6" s="19" t="s">
        <v>5</v>
      </c>
      <c r="B6" s="20" t="s">
        <v>33</v>
      </c>
      <c r="C6" s="21" t="s">
        <v>6</v>
      </c>
      <c r="D6" s="22">
        <v>1</v>
      </c>
      <c r="E6" s="23">
        <v>3</v>
      </c>
      <c r="F6" s="7">
        <f t="shared" ref="F6:F16" si="0">D6*E6</f>
        <v>3</v>
      </c>
      <c r="G6" s="24">
        <v>0.19</v>
      </c>
      <c r="H6" s="25">
        <f t="shared" ref="H6:H16" si="1">E6*G6</f>
        <v>0.57000000000000006</v>
      </c>
      <c r="I6" s="7">
        <f t="shared" ref="I6:I16" si="2">E6+H6</f>
        <v>3.5700000000000003</v>
      </c>
      <c r="J6" s="8">
        <f t="shared" ref="J6:J16" si="3">D6*I6</f>
        <v>3.5700000000000003</v>
      </c>
      <c r="K6" s="9"/>
      <c r="L6" s="10"/>
      <c r="M6" s="10"/>
      <c r="N6" s="10"/>
      <c r="O6" s="11"/>
    </row>
    <row r="7" spans="1:15" ht="36.75" customHeight="1" x14ac:dyDescent="0.2">
      <c r="A7" s="19" t="s">
        <v>7</v>
      </c>
      <c r="B7" s="20" t="s">
        <v>34</v>
      </c>
      <c r="C7" s="21" t="s">
        <v>6</v>
      </c>
      <c r="D7" s="22">
        <v>1</v>
      </c>
      <c r="E7" s="23">
        <v>15</v>
      </c>
      <c r="F7" s="7">
        <f t="shared" si="0"/>
        <v>15</v>
      </c>
      <c r="G7" s="24">
        <v>0.19</v>
      </c>
      <c r="H7" s="25">
        <f t="shared" si="1"/>
        <v>2.85</v>
      </c>
      <c r="I7" s="7">
        <f t="shared" si="2"/>
        <v>17.850000000000001</v>
      </c>
      <c r="J7" s="8">
        <f t="shared" si="3"/>
        <v>17.850000000000001</v>
      </c>
      <c r="K7" s="9"/>
      <c r="L7" s="10"/>
      <c r="M7" s="10"/>
      <c r="N7" s="10"/>
      <c r="O7" s="11"/>
    </row>
    <row r="8" spans="1:15" ht="30.75" customHeight="1" x14ac:dyDescent="0.2">
      <c r="A8" s="19" t="s">
        <v>8</v>
      </c>
      <c r="B8" s="20" t="s">
        <v>35</v>
      </c>
      <c r="C8" s="21" t="s">
        <v>6</v>
      </c>
      <c r="D8" s="22">
        <v>1</v>
      </c>
      <c r="E8" s="23">
        <v>53</v>
      </c>
      <c r="F8" s="7">
        <f t="shared" si="0"/>
        <v>53</v>
      </c>
      <c r="G8" s="24">
        <v>0.19</v>
      </c>
      <c r="H8" s="25">
        <f t="shared" si="1"/>
        <v>10.07</v>
      </c>
      <c r="I8" s="7">
        <f t="shared" si="2"/>
        <v>63.07</v>
      </c>
      <c r="J8" s="8">
        <f t="shared" si="3"/>
        <v>63.07</v>
      </c>
      <c r="K8" s="9"/>
      <c r="L8" s="10"/>
      <c r="M8" s="10"/>
      <c r="N8" s="10"/>
      <c r="O8" s="11"/>
    </row>
    <row r="9" spans="1:15" ht="69.75" customHeight="1" x14ac:dyDescent="0.2">
      <c r="A9" s="19" t="s">
        <v>9</v>
      </c>
      <c r="B9" s="20" t="s">
        <v>36</v>
      </c>
      <c r="C9" s="21" t="s">
        <v>6</v>
      </c>
      <c r="D9" s="22">
        <v>1</v>
      </c>
      <c r="E9" s="23">
        <v>3</v>
      </c>
      <c r="F9" s="7">
        <f t="shared" si="0"/>
        <v>3</v>
      </c>
      <c r="G9" s="24">
        <v>0.19</v>
      </c>
      <c r="H9" s="25">
        <f t="shared" si="1"/>
        <v>0.57000000000000006</v>
      </c>
      <c r="I9" s="7">
        <f t="shared" si="2"/>
        <v>3.5700000000000003</v>
      </c>
      <c r="J9" s="8">
        <f t="shared" si="3"/>
        <v>3.5700000000000003</v>
      </c>
      <c r="K9" s="9"/>
      <c r="L9" s="10"/>
      <c r="M9" s="10"/>
      <c r="N9" s="10"/>
      <c r="O9" s="11"/>
    </row>
    <row r="10" spans="1:15" ht="24.75" customHeight="1" x14ac:dyDescent="0.2">
      <c r="A10" s="19" t="s">
        <v>10</v>
      </c>
      <c r="B10" s="26" t="s">
        <v>37</v>
      </c>
      <c r="C10" s="21" t="s">
        <v>38</v>
      </c>
      <c r="D10" s="22">
        <v>1</v>
      </c>
      <c r="E10" s="23">
        <v>7</v>
      </c>
      <c r="F10" s="7">
        <f t="shared" si="0"/>
        <v>7</v>
      </c>
      <c r="G10" s="24">
        <v>0.19</v>
      </c>
      <c r="H10" s="25">
        <f t="shared" si="1"/>
        <v>1.33</v>
      </c>
      <c r="I10" s="7">
        <f t="shared" si="2"/>
        <v>8.33</v>
      </c>
      <c r="J10" s="8">
        <f t="shared" si="3"/>
        <v>8.33</v>
      </c>
      <c r="K10" s="9"/>
      <c r="L10" s="10"/>
      <c r="M10" s="10"/>
      <c r="N10" s="10"/>
      <c r="O10" s="11"/>
    </row>
    <row r="11" spans="1:15" ht="72.75" customHeight="1" x14ac:dyDescent="0.2">
      <c r="A11" s="19" t="s">
        <v>11</v>
      </c>
      <c r="B11" s="20" t="s">
        <v>39</v>
      </c>
      <c r="C11" s="21" t="s">
        <v>6</v>
      </c>
      <c r="D11" s="22">
        <v>1</v>
      </c>
      <c r="E11" s="23">
        <v>34</v>
      </c>
      <c r="F11" s="7">
        <f t="shared" si="0"/>
        <v>34</v>
      </c>
      <c r="G11" s="24">
        <v>0.19</v>
      </c>
      <c r="H11" s="25">
        <f t="shared" si="1"/>
        <v>6.46</v>
      </c>
      <c r="I11" s="7">
        <f t="shared" si="2"/>
        <v>40.46</v>
      </c>
      <c r="J11" s="8">
        <f t="shared" si="3"/>
        <v>40.46</v>
      </c>
      <c r="K11" s="9"/>
      <c r="L11" s="10"/>
      <c r="M11" s="10"/>
      <c r="N11" s="10"/>
      <c r="O11" s="11"/>
    </row>
    <row r="12" spans="1:15" ht="72.75" customHeight="1" x14ac:dyDescent="0.2">
      <c r="A12" s="19" t="s">
        <v>12</v>
      </c>
      <c r="B12" s="20" t="s">
        <v>40</v>
      </c>
      <c r="C12" s="21" t="s">
        <v>6</v>
      </c>
      <c r="D12" s="22">
        <v>1</v>
      </c>
      <c r="E12" s="23">
        <v>34</v>
      </c>
      <c r="F12" s="7">
        <f t="shared" si="0"/>
        <v>34</v>
      </c>
      <c r="G12" s="24">
        <v>0.19</v>
      </c>
      <c r="H12" s="25">
        <f t="shared" si="1"/>
        <v>6.46</v>
      </c>
      <c r="I12" s="7">
        <f t="shared" si="2"/>
        <v>40.46</v>
      </c>
      <c r="J12" s="8">
        <f t="shared" si="3"/>
        <v>40.46</v>
      </c>
      <c r="K12" s="9"/>
      <c r="L12" s="10"/>
      <c r="M12" s="10"/>
      <c r="N12" s="10"/>
      <c r="O12" s="11"/>
    </row>
    <row r="13" spans="1:15" ht="66" customHeight="1" x14ac:dyDescent="0.2">
      <c r="A13" s="19" t="s">
        <v>13</v>
      </c>
      <c r="B13" s="26" t="s">
        <v>41</v>
      </c>
      <c r="C13" s="21" t="s">
        <v>6</v>
      </c>
      <c r="D13" s="22">
        <v>1</v>
      </c>
      <c r="E13" s="23">
        <v>57</v>
      </c>
      <c r="F13" s="7">
        <f t="shared" si="0"/>
        <v>57</v>
      </c>
      <c r="G13" s="24">
        <v>0.19</v>
      </c>
      <c r="H13" s="25">
        <f t="shared" si="1"/>
        <v>10.83</v>
      </c>
      <c r="I13" s="7">
        <f t="shared" si="2"/>
        <v>67.83</v>
      </c>
      <c r="J13" s="8">
        <f t="shared" si="3"/>
        <v>67.83</v>
      </c>
      <c r="K13" s="9"/>
      <c r="L13" s="10"/>
      <c r="M13" s="10"/>
      <c r="N13" s="10"/>
      <c r="O13" s="11"/>
    </row>
    <row r="14" spans="1:15" ht="33.75" customHeight="1" x14ac:dyDescent="0.2">
      <c r="A14" s="19" t="s">
        <v>14</v>
      </c>
      <c r="B14" s="26" t="s">
        <v>42</v>
      </c>
      <c r="C14" s="21" t="s">
        <v>6</v>
      </c>
      <c r="D14" s="22">
        <v>1</v>
      </c>
      <c r="E14" s="23">
        <v>68</v>
      </c>
      <c r="F14" s="7">
        <f t="shared" si="0"/>
        <v>68</v>
      </c>
      <c r="G14" s="24">
        <v>0.19</v>
      </c>
      <c r="H14" s="25">
        <f t="shared" si="1"/>
        <v>12.92</v>
      </c>
      <c r="I14" s="7">
        <f t="shared" si="2"/>
        <v>80.92</v>
      </c>
      <c r="J14" s="8">
        <f t="shared" si="3"/>
        <v>80.92</v>
      </c>
      <c r="K14" s="9"/>
      <c r="L14" s="10"/>
      <c r="M14" s="10"/>
      <c r="N14" s="10"/>
      <c r="O14" s="11"/>
    </row>
    <row r="15" spans="1:15" ht="35.25" customHeight="1" x14ac:dyDescent="0.2">
      <c r="A15" s="19" t="s">
        <v>15</v>
      </c>
      <c r="B15" s="26" t="s">
        <v>43</v>
      </c>
      <c r="C15" s="21" t="s">
        <v>6</v>
      </c>
      <c r="D15" s="22">
        <v>1</v>
      </c>
      <c r="E15" s="23">
        <v>32</v>
      </c>
      <c r="F15" s="7">
        <f t="shared" si="0"/>
        <v>32</v>
      </c>
      <c r="G15" s="24">
        <v>0.19</v>
      </c>
      <c r="H15" s="25">
        <f t="shared" si="1"/>
        <v>6.08</v>
      </c>
      <c r="I15" s="7">
        <f t="shared" si="2"/>
        <v>38.08</v>
      </c>
      <c r="J15" s="8">
        <f t="shared" si="3"/>
        <v>38.08</v>
      </c>
      <c r="K15" s="27"/>
      <c r="L15" s="28"/>
      <c r="M15" s="28"/>
      <c r="N15" s="28"/>
      <c r="O15" s="29"/>
    </row>
    <row r="16" spans="1:15" ht="54.75" customHeight="1" x14ac:dyDescent="0.2">
      <c r="A16" s="19" t="s">
        <v>16</v>
      </c>
      <c r="B16" s="26" t="s">
        <v>44</v>
      </c>
      <c r="C16" s="21" t="s">
        <v>6</v>
      </c>
      <c r="D16" s="22">
        <v>1</v>
      </c>
      <c r="E16" s="23">
        <v>83</v>
      </c>
      <c r="F16" s="7">
        <f t="shared" si="0"/>
        <v>83</v>
      </c>
      <c r="G16" s="24">
        <v>0.19</v>
      </c>
      <c r="H16" s="25">
        <f t="shared" si="1"/>
        <v>15.77</v>
      </c>
      <c r="I16" s="7">
        <f t="shared" si="2"/>
        <v>98.77</v>
      </c>
      <c r="J16" s="8">
        <f t="shared" si="3"/>
        <v>98.77</v>
      </c>
      <c r="K16" s="27"/>
      <c r="L16" s="28"/>
      <c r="M16" s="28"/>
      <c r="N16" s="28"/>
      <c r="O16" s="29"/>
    </row>
    <row r="17" spans="1:15" ht="73.5" customHeight="1" x14ac:dyDescent="0.2">
      <c r="A17" s="30"/>
      <c r="B17" s="31" t="s">
        <v>45</v>
      </c>
      <c r="C17" s="32"/>
      <c r="D17" s="32"/>
      <c r="E17" s="33"/>
      <c r="F17" s="34">
        <f>SUM(F6:F16)</f>
        <v>389</v>
      </c>
      <c r="G17" s="32"/>
      <c r="H17" s="35"/>
      <c r="I17" s="34"/>
      <c r="J17" s="36">
        <f>SUM(J6:J16)</f>
        <v>462.90999999999997</v>
      </c>
      <c r="K17" s="9"/>
      <c r="L17" s="10"/>
      <c r="M17" s="10"/>
      <c r="N17" s="10"/>
      <c r="O17" s="11"/>
    </row>
    <row r="18" spans="1:15" ht="20.100000000000001" customHeight="1" x14ac:dyDescent="0.2">
      <c r="A18" s="80" t="s">
        <v>46</v>
      </c>
      <c r="B18" s="77"/>
      <c r="C18" s="71"/>
      <c r="D18" s="71"/>
      <c r="E18" s="71"/>
      <c r="F18" s="71"/>
      <c r="G18" s="77"/>
      <c r="H18" s="71"/>
      <c r="I18" s="71"/>
      <c r="J18" s="71"/>
      <c r="K18" s="9"/>
      <c r="L18" s="10"/>
      <c r="M18" s="10"/>
      <c r="N18" s="10"/>
      <c r="O18" s="11"/>
    </row>
    <row r="19" spans="1:15" ht="60.75" customHeight="1" x14ac:dyDescent="0.2">
      <c r="A19" s="19" t="s">
        <v>17</v>
      </c>
      <c r="B19" s="26" t="s">
        <v>47</v>
      </c>
      <c r="C19" s="21" t="s">
        <v>6</v>
      </c>
      <c r="D19" s="22">
        <v>1</v>
      </c>
      <c r="E19" s="23">
        <v>78</v>
      </c>
      <c r="F19" s="7">
        <f>D19*E19</f>
        <v>78</v>
      </c>
      <c r="G19" s="24">
        <v>0.19</v>
      </c>
      <c r="H19" s="25">
        <f>E19*G19</f>
        <v>14.82</v>
      </c>
      <c r="I19" s="7">
        <f>E19+H19</f>
        <v>92.82</v>
      </c>
      <c r="J19" s="8">
        <f>D19*I19</f>
        <v>92.82</v>
      </c>
      <c r="K19" s="9"/>
      <c r="L19" s="10"/>
      <c r="M19" s="10"/>
      <c r="N19" s="10"/>
      <c r="O19" s="11"/>
    </row>
    <row r="20" spans="1:15" ht="56.25" customHeight="1" x14ac:dyDescent="0.2">
      <c r="A20" s="19" t="s">
        <v>18</v>
      </c>
      <c r="B20" s="20" t="s">
        <v>48</v>
      </c>
      <c r="C20" s="21" t="s">
        <v>6</v>
      </c>
      <c r="D20" s="22">
        <v>1</v>
      </c>
      <c r="E20" s="37">
        <v>34</v>
      </c>
      <c r="F20" s="7">
        <f>D20*E20</f>
        <v>34</v>
      </c>
      <c r="G20" s="24">
        <v>0.19</v>
      </c>
      <c r="H20" s="25">
        <f>E20*G20</f>
        <v>6.46</v>
      </c>
      <c r="I20" s="7">
        <f>E20+H20</f>
        <v>40.46</v>
      </c>
      <c r="J20" s="8">
        <f>D20*I20</f>
        <v>40.46</v>
      </c>
      <c r="K20" s="9"/>
      <c r="L20" s="10"/>
      <c r="M20" s="10"/>
      <c r="N20" s="10"/>
      <c r="O20" s="11"/>
    </row>
    <row r="21" spans="1:15" ht="42.75" customHeight="1" x14ac:dyDescent="0.2">
      <c r="A21" s="19" t="s">
        <v>19</v>
      </c>
      <c r="B21" s="20" t="s">
        <v>49</v>
      </c>
      <c r="C21" s="21" t="s">
        <v>6</v>
      </c>
      <c r="D21" s="22">
        <v>1</v>
      </c>
      <c r="E21" s="37">
        <v>93</v>
      </c>
      <c r="F21" s="7">
        <f>D21*E21</f>
        <v>93</v>
      </c>
      <c r="G21" s="24">
        <v>0.19</v>
      </c>
      <c r="H21" s="25">
        <f>E21*G21</f>
        <v>17.670000000000002</v>
      </c>
      <c r="I21" s="7">
        <f>E21+H21</f>
        <v>110.67</v>
      </c>
      <c r="J21" s="8">
        <f>D21*I21</f>
        <v>110.67</v>
      </c>
      <c r="K21" s="9"/>
      <c r="L21" s="10"/>
      <c r="M21" s="10"/>
      <c r="N21" s="10"/>
      <c r="O21" s="11"/>
    </row>
    <row r="22" spans="1:15" ht="21.95" customHeight="1" x14ac:dyDescent="0.2">
      <c r="A22" s="76" t="s">
        <v>50</v>
      </c>
      <c r="B22" s="77"/>
      <c r="C22" s="71"/>
      <c r="D22" s="72"/>
      <c r="E22" s="33"/>
      <c r="F22" s="34">
        <f>SUM(F19:F21)</f>
        <v>205</v>
      </c>
      <c r="G22" s="32"/>
      <c r="H22" s="35"/>
      <c r="I22" s="34"/>
      <c r="J22" s="36">
        <f>SUM(J19:J21)</f>
        <v>243.95</v>
      </c>
      <c r="K22" s="9"/>
      <c r="L22" s="10"/>
      <c r="M22" s="10"/>
      <c r="N22" s="10"/>
      <c r="O22" s="11"/>
    </row>
    <row r="23" spans="1:15" ht="20.100000000000001" customHeight="1" x14ac:dyDescent="0.2">
      <c r="A23" s="80" t="s">
        <v>51</v>
      </c>
      <c r="B23" s="77"/>
      <c r="C23" s="71"/>
      <c r="D23" s="71"/>
      <c r="E23" s="71"/>
      <c r="F23" s="71"/>
      <c r="G23" s="77"/>
      <c r="H23" s="71"/>
      <c r="I23" s="71"/>
      <c r="J23" s="71"/>
      <c r="K23" s="9"/>
      <c r="L23" s="10"/>
      <c r="M23" s="10"/>
      <c r="N23" s="10"/>
      <c r="O23" s="11"/>
    </row>
    <row r="24" spans="1:15" ht="23.25" customHeight="1" x14ac:dyDescent="0.2">
      <c r="A24" s="38" t="s">
        <v>20</v>
      </c>
      <c r="B24" s="19" t="s">
        <v>52</v>
      </c>
      <c r="C24" s="21" t="s">
        <v>6</v>
      </c>
      <c r="D24" s="22">
        <v>1</v>
      </c>
      <c r="E24" s="23">
        <v>25</v>
      </c>
      <c r="F24" s="7">
        <f>D24*E24</f>
        <v>25</v>
      </c>
      <c r="G24" s="24">
        <v>0.19</v>
      </c>
      <c r="H24" s="25">
        <f>E24*G24</f>
        <v>4.75</v>
      </c>
      <c r="I24" s="7">
        <f>E24+H24</f>
        <v>29.75</v>
      </c>
      <c r="J24" s="8">
        <f>D24*I24</f>
        <v>29.75</v>
      </c>
      <c r="K24" s="9"/>
      <c r="L24" s="10"/>
      <c r="M24" s="10"/>
      <c r="N24" s="10"/>
      <c r="O24" s="11"/>
    </row>
    <row r="25" spans="1:15" ht="48" customHeight="1" x14ac:dyDescent="0.2">
      <c r="A25" s="38" t="s">
        <v>21</v>
      </c>
      <c r="B25" s="19" t="s">
        <v>53</v>
      </c>
      <c r="C25" s="21" t="s">
        <v>6</v>
      </c>
      <c r="D25" s="22">
        <v>1</v>
      </c>
      <c r="E25" s="23">
        <v>93</v>
      </c>
      <c r="F25" s="7">
        <f>D25*E25</f>
        <v>93</v>
      </c>
      <c r="G25" s="24">
        <v>0.19</v>
      </c>
      <c r="H25" s="25">
        <f>E25*G25</f>
        <v>17.670000000000002</v>
      </c>
      <c r="I25" s="7">
        <f>E25+H25</f>
        <v>110.67</v>
      </c>
      <c r="J25" s="8">
        <f>D25*I25</f>
        <v>110.67</v>
      </c>
      <c r="K25" s="9"/>
      <c r="L25" s="10"/>
      <c r="M25" s="10"/>
      <c r="N25" s="10"/>
      <c r="O25" s="11"/>
    </row>
    <row r="26" spans="1:15" ht="49.5" customHeight="1" x14ac:dyDescent="0.2">
      <c r="A26" s="38" t="s">
        <v>22</v>
      </c>
      <c r="B26" s="19" t="s">
        <v>54</v>
      </c>
      <c r="C26" s="21" t="s">
        <v>6</v>
      </c>
      <c r="D26" s="22">
        <v>1</v>
      </c>
      <c r="E26" s="23">
        <v>15</v>
      </c>
      <c r="F26" s="7">
        <f>D26*E26</f>
        <v>15</v>
      </c>
      <c r="G26" s="24">
        <v>0.19</v>
      </c>
      <c r="H26" s="25">
        <f>E26*G26</f>
        <v>2.85</v>
      </c>
      <c r="I26" s="7">
        <f>E26+H26</f>
        <v>17.850000000000001</v>
      </c>
      <c r="J26" s="8">
        <f>D26*I26</f>
        <v>17.850000000000001</v>
      </c>
      <c r="K26" s="9"/>
      <c r="L26" s="10"/>
      <c r="M26" s="10"/>
      <c r="N26" s="10"/>
      <c r="O26" s="11"/>
    </row>
    <row r="27" spans="1:15" ht="34.5" customHeight="1" x14ac:dyDescent="0.2">
      <c r="A27" s="38" t="s">
        <v>23</v>
      </c>
      <c r="B27" s="19" t="s">
        <v>55</v>
      </c>
      <c r="C27" s="21" t="s">
        <v>6</v>
      </c>
      <c r="D27" s="22">
        <v>1</v>
      </c>
      <c r="E27" s="23">
        <v>25</v>
      </c>
      <c r="F27" s="7">
        <f>D27*E27</f>
        <v>25</v>
      </c>
      <c r="G27" s="24">
        <v>0.19</v>
      </c>
      <c r="H27" s="25">
        <f>E27*G27</f>
        <v>4.75</v>
      </c>
      <c r="I27" s="7">
        <f>E27+H27</f>
        <v>29.75</v>
      </c>
      <c r="J27" s="8">
        <f>D27*I27</f>
        <v>29.75</v>
      </c>
      <c r="K27" s="9"/>
      <c r="L27" s="10"/>
      <c r="M27" s="10"/>
      <c r="N27" s="10"/>
      <c r="O27" s="11"/>
    </row>
    <row r="28" spans="1:15" ht="21.95" customHeight="1" x14ac:dyDescent="0.2">
      <c r="A28" s="76" t="s">
        <v>56</v>
      </c>
      <c r="B28" s="77"/>
      <c r="C28" s="78"/>
      <c r="D28" s="79"/>
      <c r="E28" s="39"/>
      <c r="F28" s="34">
        <f>SUM(F24:F27)</f>
        <v>158</v>
      </c>
      <c r="G28" s="32"/>
      <c r="H28" s="35"/>
      <c r="I28" s="34"/>
      <c r="J28" s="36">
        <f>SUM(J24:J27)</f>
        <v>188.02</v>
      </c>
      <c r="K28" s="9"/>
      <c r="L28" s="10"/>
      <c r="M28" s="10"/>
      <c r="N28" s="10"/>
      <c r="O28" s="11"/>
    </row>
    <row r="29" spans="1:15" ht="21.95" customHeight="1" x14ac:dyDescent="0.2">
      <c r="A29" s="49"/>
      <c r="B29" s="48" t="s">
        <v>57</v>
      </c>
      <c r="C29" s="59" t="s">
        <v>6</v>
      </c>
      <c r="D29" s="57">
        <v>1</v>
      </c>
      <c r="E29" s="54">
        <v>20</v>
      </c>
      <c r="F29" s="7">
        <f>D29*E29</f>
        <v>20</v>
      </c>
      <c r="G29" s="24">
        <v>0.19</v>
      </c>
      <c r="H29" s="25">
        <f>E29*G29</f>
        <v>3.8</v>
      </c>
      <c r="I29" s="7">
        <f>E29+H29</f>
        <v>23.8</v>
      </c>
      <c r="J29" s="8">
        <f>D29*I29</f>
        <v>23.8</v>
      </c>
      <c r="K29" s="9"/>
      <c r="L29" s="10"/>
      <c r="M29" s="10"/>
      <c r="N29" s="10"/>
      <c r="O29" s="11"/>
    </row>
    <row r="30" spans="1:15" ht="21.95" customHeight="1" x14ac:dyDescent="0.2">
      <c r="A30" s="49"/>
      <c r="B30" s="47"/>
      <c r="C30" s="56"/>
      <c r="D30" s="55"/>
      <c r="E30" s="58"/>
      <c r="F30" s="50"/>
      <c r="G30" s="51"/>
      <c r="H30" s="52"/>
      <c r="I30" s="50"/>
      <c r="J30" s="53"/>
      <c r="K30" s="9"/>
      <c r="L30" s="10"/>
      <c r="M30" s="10"/>
      <c r="N30" s="10"/>
      <c r="O30" s="11"/>
    </row>
    <row r="31" spans="1:15" ht="21.95" customHeight="1" x14ac:dyDescent="0.2">
      <c r="A31" s="66" t="s">
        <v>24</v>
      </c>
      <c r="B31" s="68"/>
      <c r="C31" s="60"/>
      <c r="D31" s="40"/>
      <c r="E31" s="41"/>
      <c r="F31" s="42">
        <f>F17+F22+F28+F29</f>
        <v>772</v>
      </c>
      <c r="G31" s="42"/>
      <c r="H31" s="42"/>
      <c r="I31" s="42"/>
      <c r="J31" s="43">
        <f>J17+J22+J28+J28</f>
        <v>1082.8999999999999</v>
      </c>
      <c r="K31" s="9"/>
      <c r="L31" s="10"/>
      <c r="M31" s="10"/>
      <c r="N31" s="10"/>
      <c r="O31" s="11"/>
    </row>
    <row r="32" spans="1:15" ht="21.95" customHeight="1" x14ac:dyDescent="0.2">
      <c r="A32" s="66" t="s">
        <v>25</v>
      </c>
      <c r="B32" s="67"/>
      <c r="C32" s="40"/>
      <c r="D32" s="40"/>
      <c r="E32" s="41"/>
      <c r="F32" s="42"/>
      <c r="G32" s="42"/>
      <c r="H32" s="42"/>
      <c r="I32" s="42"/>
      <c r="J32" s="43"/>
      <c r="K32" s="44"/>
      <c r="L32" s="45"/>
      <c r="M32" s="45"/>
      <c r="N32" s="45"/>
      <c r="O32" s="46"/>
    </row>
    <row r="35" spans="1:10" ht="49.5" customHeight="1" x14ac:dyDescent="0.2">
      <c r="A35" s="61"/>
      <c r="B35" s="64" t="s">
        <v>58</v>
      </c>
      <c r="C35" s="62"/>
      <c r="D35" s="62"/>
      <c r="E35" s="62"/>
      <c r="F35" s="62"/>
      <c r="G35" s="62"/>
      <c r="H35" s="62"/>
      <c r="I35" s="62"/>
      <c r="J35" s="63"/>
    </row>
    <row r="37" spans="1:10" ht="30.75" customHeight="1" x14ac:dyDescent="0.2">
      <c r="B37" s="65" t="s">
        <v>59</v>
      </c>
    </row>
    <row r="39" spans="1:10" ht="34.5" customHeight="1" x14ac:dyDescent="0.2">
      <c r="B39" s="65" t="s">
        <v>60</v>
      </c>
    </row>
  </sheetData>
  <mergeCells count="11">
    <mergeCell ref="A1:H1"/>
    <mergeCell ref="A28:D28"/>
    <mergeCell ref="A18:J18"/>
    <mergeCell ref="A23:J23"/>
    <mergeCell ref="A22:D22"/>
    <mergeCell ref="A5:J5"/>
    <mergeCell ref="A32:B32"/>
    <mergeCell ref="A31:B31"/>
    <mergeCell ref="D3:D4"/>
    <mergeCell ref="C3:C4"/>
    <mergeCell ref="A2:H2"/>
  </mergeCells>
  <pageMargins left="1" right="1" top="1" bottom="1" header="0.25" footer="0.25"/>
  <pageSetup scale="62" orientation="portrait" r:id="rId1"/>
  <headerFooter>
    <oddFooter>&amp;L&amp;"Helvetica,Regular"&amp;11&amp;K000000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Details - Offer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Yurij</cp:lastModifiedBy>
  <dcterms:modified xsi:type="dcterms:W3CDTF">2019-11-04T14:27:34Z</dcterms:modified>
</cp:coreProperties>
</file>